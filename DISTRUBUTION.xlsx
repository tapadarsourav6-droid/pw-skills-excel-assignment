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V TAPADAR\Documents\"/>
    </mc:Choice>
  </mc:AlternateContent>
  <xr:revisionPtr revIDLastSave="0" documentId="13_ncr:1_{2FBC22B8-7083-4FD2-8208-A97719524CBB}" xr6:coauthVersionLast="47" xr6:coauthVersionMax="47" xr10:uidLastSave="{00000000-0000-0000-0000-000000000000}"/>
  <bookViews>
    <workbookView xWindow="-120" yWindow="-120" windowWidth="20730" windowHeight="11160" activeTab="1" xr2:uid="{23F63DC2-B9C2-4B11-B105-8C21249C7528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definedNames>
    <definedName name="_xlchart.v1.0" hidden="1">Sheet2!$A$1:$A$101</definedName>
    <definedName name="_xlchart.v1.1" hidden="1">Sheet2!$A$1:$A$101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8" l="1"/>
  <c r="B8" i="8"/>
  <c r="C5" i="7"/>
  <c r="B4" i="3"/>
  <c r="A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B6" i="1"/>
</calcChain>
</file>

<file path=xl/sharedStrings.xml><?xml version="1.0" encoding="utf-8"?>
<sst xmlns="http://schemas.openxmlformats.org/spreadsheetml/2006/main" count="48" uniqueCount="46">
  <si>
    <t>Distribution Statistics</t>
  </si>
  <si>
    <t>Number of trials(n)</t>
  </si>
  <si>
    <t>Number of success(x)</t>
  </si>
  <si>
    <t>probailitity of rolling3(p)</t>
  </si>
  <si>
    <t xml:space="preserve"> '1/6</t>
  </si>
  <si>
    <t>result</t>
  </si>
  <si>
    <t>Brief Explanation: The histogram shows the distribution of 100 random values generated using the RAND() function. The values are spread between 0 and 1, indicating a roughly uniform distribution.</t>
  </si>
  <si>
    <t>parameter</t>
  </si>
  <si>
    <t>value</t>
  </si>
  <si>
    <t>mean</t>
  </si>
  <si>
    <t>standard deviation</t>
  </si>
  <si>
    <t>answer: The probability of a value lying between 45 and 55 in a normal distribution with mean 50 and standard deviation 5 is 0.6827 (68.27%)</t>
  </si>
  <si>
    <t>Formula:</t>
  </si>
  <si>
    <t>Z = (X - μ) / σ</t>
  </si>
  <si>
    <t>Where:</t>
  </si>
  <si>
    <t>X = Data value</t>
  </si>
  <si>
    <t>μ = Mean of the dataset</t>
  </si>
  <si>
    <t>σ = Standard deviation of the dataset</t>
  </si>
  <si>
    <t>Standardization transforms a dataset by converting each value into a Z-score, indicating how many standard deviations it is above or below the mean.</t>
  </si>
  <si>
    <t xml:space="preserve">Standardization (Z-score) is a statistical technique used to transform data so that it has a mean of 0 and a standard deviation of 1. </t>
  </si>
  <si>
    <t>It is important because it allows comparison of values from different datasets on the same scale and improves the performance of many statistical and machine learning models.</t>
  </si>
  <si>
    <t>What is the concept of standardization (z-score), and why is it important in data analysis? Explain the formula and how standardization transforms a dataset.</t>
  </si>
  <si>
    <t>answers</t>
  </si>
  <si>
    <t>Kurtosis is a statistical measure that describes the shape of a distribution, especially its peakedness and tail heaviness.</t>
  </si>
  <si>
    <t>Types of Kurtosis:</t>
  </si>
  <si>
    <t>1. Leptokurtic – High peak and heavy tails.</t>
  </si>
  <si>
    <t>2. Mesokurtic – Normal distribution.</t>
  </si>
  <si>
    <t>3. Platykurtic – Flat peak and light tails.</t>
  </si>
  <si>
    <t>Kurtosis helps in understanding the distribution of data and identifying the presence of outliers.</t>
  </si>
  <si>
    <t>What is Kurtosis and their type?</t>
  </si>
  <si>
    <t>Explain why the uniform distribution is a good model for the outcome of rolling a fair die</t>
  </si>
  <si>
    <t>A fair die follows a Uniform Distribution because all six outcomes (1, 2, 3, 4, 5, and 6) are equally likely to occur.</t>
  </si>
  <si>
    <t>The probability of each outcome is:</t>
  </si>
  <si>
    <t>P(X) = 1/6</t>
  </si>
  <si>
    <t>In a uniform distribution, every possible outcome has the same probability. Therefore, a fair die is a classic example of a discrete uniform distribution.</t>
  </si>
  <si>
    <t>Answers</t>
  </si>
  <si>
    <t>no.of trials</t>
  </si>
  <si>
    <t>probaility of success</t>
  </si>
  <si>
    <t>Brief Explanation</t>
  </si>
  <si>
    <t>Using the Binomial Distribution formula, the probability of getting at least 8 successes in 15 trials with a success probability of 0.5 is approximately 0.5001 (50.01%).</t>
  </si>
  <si>
    <t>How does log transformation help in stabilizing variance and making data more normally distributed?</t>
  </si>
  <si>
    <t>Excel Formula:</t>
  </si>
  <si>
    <t>or</t>
  </si>
  <si>
    <t>Log transformation is a technique used to reduce skewness in data</t>
  </si>
  <si>
    <t xml:space="preserve">It helps stabilize variance by reducing the effect of very large values and makes the data more normally distributed. </t>
  </si>
  <si>
    <t>This improves the accuracy of statistical analysis and machine learning models.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</si>
</sst>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3" borderId="1" xfId="0" applyFont="1" applyFill="1" applyBorder="1"/>
    <xf numFmtId="0" fontId="1" fillId="3" borderId="3" xfId="0" applyFont="1" applyFill="1" applyBorder="1"/>
    <xf numFmtId="0" fontId="1" fillId="2" borderId="2" xfId="0" applyFont="1" applyFill="1" applyBorder="1"/>
    <xf numFmtId="0" fontId="1" fillId="2" borderId="4" xfId="0" applyFont="1" applyFill="1" applyBorder="1"/>
    <xf numFmtId="16" fontId="1" fillId="2" borderId="4" xfId="0" applyNumberFormat="1" applyFont="1" applyFill="1" applyBorder="1" applyAlignment="1">
      <alignment horizontal="right"/>
    </xf>
    <xf numFmtId="0" fontId="1" fillId="4" borderId="5" xfId="0" applyFont="1" applyFill="1" applyBorder="1"/>
    <xf numFmtId="0" fontId="1" fillId="5" borderId="6" xfId="0" applyFont="1" applyFill="1" applyBorder="1"/>
    <xf numFmtId="0" fontId="1" fillId="6" borderId="0" xfId="0" applyFont="1" applyFill="1"/>
    <xf numFmtId="0" fontId="0" fillId="6" borderId="0" xfId="0" applyFill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6" xfId="0" applyBorder="1"/>
    <xf numFmtId="0" fontId="1" fillId="8" borderId="1" xfId="0" applyFont="1" applyFill="1" applyBorder="1"/>
    <xf numFmtId="0" fontId="1" fillId="8" borderId="7" xfId="0" applyFont="1" applyFill="1" applyBorder="1"/>
    <xf numFmtId="0" fontId="1" fillId="8" borderId="2" xfId="0" applyFont="1" applyFill="1" applyBorder="1"/>
    <xf numFmtId="0" fontId="1" fillId="8" borderId="3" xfId="0" applyFont="1" applyFill="1" applyBorder="1"/>
    <xf numFmtId="0" fontId="1" fillId="8" borderId="0" xfId="0" applyFont="1" applyFill="1"/>
    <xf numFmtId="0" fontId="1" fillId="8" borderId="4" xfId="0" applyFont="1" applyFill="1" applyBorder="1"/>
    <xf numFmtId="0" fontId="1" fillId="6" borderId="3" xfId="0" applyFont="1" applyFill="1" applyBorder="1"/>
    <xf numFmtId="0" fontId="1" fillId="7" borderId="3" xfId="0" applyFont="1" applyFill="1" applyBorder="1"/>
    <xf numFmtId="0" fontId="1" fillId="7" borderId="0" xfId="0" applyFont="1" applyFill="1"/>
    <xf numFmtId="0" fontId="1" fillId="7" borderId="5" xfId="0" applyFont="1" applyFill="1" applyBorder="1"/>
    <xf numFmtId="0" fontId="1" fillId="7" borderId="8" xfId="0" applyFont="1" applyFill="1" applyBorder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6" borderId="0" xfId="0" applyFont="1" applyFill="1" applyAlignment="1">
      <alignment horizontal="left"/>
    </xf>
    <xf numFmtId="0" fontId="1" fillId="11" borderId="9" xfId="0" applyFont="1" applyFill="1" applyBorder="1"/>
    <xf numFmtId="0" fontId="1" fillId="11" borderId="10" xfId="0" applyFont="1" applyFill="1" applyBorder="1"/>
    <xf numFmtId="0" fontId="0" fillId="11" borderId="11" xfId="0" applyFill="1" applyBorder="1"/>
    <xf numFmtId="0" fontId="1" fillId="11" borderId="12" xfId="0" applyFont="1" applyFill="1" applyBorder="1"/>
    <xf numFmtId="0" fontId="0" fillId="11" borderId="13" xfId="0" applyFill="1" applyBorder="1"/>
    <xf numFmtId="0" fontId="1" fillId="11" borderId="12" xfId="0" applyFont="1" applyFill="1" applyBorder="1" applyAlignment="1">
      <alignment horizontal="left" vertical="center" indent="1"/>
    </xf>
    <xf numFmtId="0" fontId="1" fillId="11" borderId="14" xfId="0" applyFont="1" applyFill="1" applyBorder="1"/>
    <xf numFmtId="0" fontId="1" fillId="11" borderId="15" xfId="0" applyFont="1" applyFill="1" applyBorder="1"/>
    <xf numFmtId="0" fontId="0" fillId="11" borderId="16" xfId="0" applyFill="1" applyBorder="1"/>
    <xf numFmtId="0" fontId="1" fillId="12" borderId="0" xfId="0" applyFont="1" applyFill="1"/>
    <xf numFmtId="0" fontId="1" fillId="12" borderId="9" xfId="0" applyFont="1" applyFill="1" applyBorder="1"/>
    <xf numFmtId="0" fontId="1" fillId="12" borderId="10" xfId="0" applyFont="1" applyFill="1" applyBorder="1"/>
    <xf numFmtId="0" fontId="1" fillId="12" borderId="11" xfId="0" applyFont="1" applyFill="1" applyBorder="1"/>
    <xf numFmtId="0" fontId="1" fillId="12" borderId="12" xfId="0" applyFont="1" applyFill="1" applyBorder="1"/>
    <xf numFmtId="0" fontId="1" fillId="12" borderId="13" xfId="0" applyFont="1" applyFill="1" applyBorder="1"/>
    <xf numFmtId="0" fontId="1" fillId="12" borderId="14" xfId="0" applyFont="1" applyFill="1" applyBorder="1"/>
    <xf numFmtId="0" fontId="1" fillId="12" borderId="15" xfId="0" applyFont="1" applyFill="1" applyBorder="1"/>
    <xf numFmtId="0" fontId="1" fillId="12" borderId="16" xfId="0" applyFont="1" applyFill="1" applyBorder="1"/>
    <xf numFmtId="0" fontId="2" fillId="2" borderId="0" xfId="0" applyFont="1" applyFill="1" applyAlignment="1">
      <alignment horizontal="center"/>
    </xf>
    <xf numFmtId="0" fontId="0" fillId="13" borderId="0" xfId="0" applyFill="1"/>
    <xf numFmtId="0" fontId="1" fillId="13" borderId="0" xfId="0" applyFont="1" applyFill="1"/>
    <xf numFmtId="0" fontId="0" fillId="13" borderId="0" xfId="0" applyFill="1" applyAlignment="1">
      <alignment horizontal="left" vertical="center" indent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1" fillId="6" borderId="0" xfId="0" applyFont="1" applyFill="1" applyAlignment="1">
      <alignment horizontal="left" vertical="center" indent="1"/>
    </xf>
    <xf numFmtId="0" fontId="1" fillId="14" borderId="0" xfId="0" applyFont="1" applyFill="1"/>
    <xf numFmtId="0" fontId="1" fillId="16" borderId="1" xfId="0" applyFont="1" applyFill="1" applyBorder="1"/>
    <xf numFmtId="0" fontId="1" fillId="16" borderId="2" xfId="0" applyFont="1" applyFill="1" applyBorder="1"/>
    <xf numFmtId="0" fontId="1" fillId="16" borderId="3" xfId="0" applyFont="1" applyFill="1" applyBorder="1"/>
    <xf numFmtId="0" fontId="1" fillId="16" borderId="4" xfId="0" applyFont="1" applyFill="1" applyBorder="1"/>
    <xf numFmtId="0" fontId="1" fillId="16" borderId="5" xfId="0" applyFont="1" applyFill="1" applyBorder="1"/>
    <xf numFmtId="0" fontId="1" fillId="16" borderId="6" xfId="0" applyFont="1" applyFill="1" applyBorder="1"/>
    <xf numFmtId="0" fontId="1" fillId="15" borderId="0" xfId="0" applyFont="1" applyFill="1"/>
    <xf numFmtId="0" fontId="0" fillId="6" borderId="0" xfId="0" applyFill="1" applyAlignment="1">
      <alignment horizontal="left"/>
    </xf>
    <xf numFmtId="0" fontId="0" fillId="9" borderId="0" xfId="0" applyFill="1"/>
    <xf numFmtId="0" fontId="0" fillId="17" borderId="0" xfId="0" applyFill="1"/>
    <xf numFmtId="0" fontId="1" fillId="17" borderId="0" xfId="0" applyFont="1" applyFill="1" applyAlignment="1">
      <alignment horizontal="center"/>
    </xf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6A801A01-ED16-422B-973D-A32778A5ADD7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128587</xdr:rowOff>
    </xdr:from>
    <xdr:to>
      <xdr:col>9</xdr:col>
      <xdr:colOff>38100</xdr:colOff>
      <xdr:row>15</xdr:row>
      <xdr:rowOff>14287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A142C17-076E-7AB6-EAC1-2402B63566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0" y="128587"/>
              <a:ext cx="48577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E5E2-F030-4E19-946E-C1AA309154F5}">
  <dimension ref="A1:E14"/>
  <sheetViews>
    <sheetView workbookViewId="0">
      <selection activeCell="C8" sqref="C8"/>
    </sheetView>
  </sheetViews>
  <sheetFormatPr defaultRowHeight="15"/>
  <cols>
    <col min="1" max="1" width="22.42578125" customWidth="1"/>
  </cols>
  <sheetData>
    <row r="1" spans="1:5" ht="18.75">
      <c r="A1" s="67"/>
      <c r="B1" s="48" t="s">
        <v>0</v>
      </c>
      <c r="C1" s="48"/>
      <c r="D1" s="48"/>
      <c r="E1" s="67"/>
    </row>
    <row r="2" spans="1:5">
      <c r="A2" s="66">
        <v>1</v>
      </c>
      <c r="B2" s="67"/>
      <c r="C2" s="67"/>
      <c r="D2" s="67"/>
      <c r="E2" s="67"/>
    </row>
    <row r="3" spans="1:5">
      <c r="A3" s="2" t="s">
        <v>1</v>
      </c>
      <c r="B3" s="4">
        <v>30</v>
      </c>
      <c r="C3" s="67"/>
      <c r="D3" s="67"/>
      <c r="E3" s="67"/>
    </row>
    <row r="4" spans="1:5">
      <c r="A4" s="3" t="s">
        <v>2</v>
      </c>
      <c r="B4" s="5">
        <v>5</v>
      </c>
      <c r="C4" s="67"/>
      <c r="D4" s="67"/>
      <c r="E4" s="67"/>
    </row>
    <row r="5" spans="1:5">
      <c r="A5" s="3" t="s">
        <v>3</v>
      </c>
      <c r="B5" s="6" t="s">
        <v>4</v>
      </c>
      <c r="C5" s="67"/>
      <c r="D5" s="67"/>
      <c r="E5" s="67"/>
    </row>
    <row r="6" spans="1:5">
      <c r="A6" s="7" t="s">
        <v>5</v>
      </c>
      <c r="B6" s="8">
        <f>_xlfn.BINOM.DIST(5,30,0.1667,FALSE)</f>
        <v>0.19210810800111841</v>
      </c>
      <c r="C6" s="67"/>
      <c r="D6" s="67"/>
      <c r="E6" s="67"/>
    </row>
    <row r="7" spans="1:5">
      <c r="A7" s="67"/>
      <c r="B7" s="67"/>
      <c r="C7" s="67"/>
      <c r="D7" s="67"/>
      <c r="E7" s="67"/>
    </row>
    <row r="8" spans="1:5">
      <c r="A8" s="67"/>
      <c r="B8" s="67"/>
      <c r="C8" s="67"/>
      <c r="D8" s="67"/>
      <c r="E8" s="67"/>
    </row>
    <row r="9" spans="1:5">
      <c r="A9" s="67"/>
      <c r="B9" s="67"/>
      <c r="C9" s="67"/>
      <c r="D9" s="67"/>
      <c r="E9" s="67"/>
    </row>
    <row r="10" spans="1:5">
      <c r="A10" s="67"/>
      <c r="B10" s="67"/>
      <c r="C10" s="67"/>
      <c r="D10" s="67"/>
      <c r="E10" s="67"/>
    </row>
    <row r="11" spans="1:5">
      <c r="A11" s="67"/>
      <c r="B11" s="67"/>
      <c r="C11" s="67"/>
      <c r="D11" s="67"/>
      <c r="E11" s="67"/>
    </row>
    <row r="12" spans="1:5">
      <c r="A12" s="67"/>
      <c r="B12" s="67"/>
      <c r="C12" s="67"/>
      <c r="D12" s="67"/>
      <c r="E12" s="67"/>
    </row>
    <row r="13" spans="1:5">
      <c r="A13" s="67"/>
      <c r="B13" s="67"/>
      <c r="C13" s="67"/>
      <c r="D13" s="67"/>
      <c r="E13" s="67"/>
    </row>
    <row r="14" spans="1:5">
      <c r="A14" s="67"/>
      <c r="B14" s="67"/>
      <c r="C14" s="67"/>
      <c r="D14" s="67"/>
      <c r="E14" s="67"/>
    </row>
  </sheetData>
  <mergeCells count="1"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AD93E-99F7-48FB-A82D-D85A4A9D57F6}">
  <dimension ref="A1:T101"/>
  <sheetViews>
    <sheetView tabSelected="1" workbookViewId="0">
      <selection activeCell="M4" sqref="M4"/>
    </sheetView>
  </sheetViews>
  <sheetFormatPr defaultRowHeight="15"/>
  <cols>
    <col min="3" max="3" width="10.5703125" customWidth="1"/>
  </cols>
  <sheetData>
    <row r="1" spans="1:20">
      <c r="A1" s="70">
        <f ca="1">RAND()</f>
        <v>0.59918046795053959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</row>
    <row r="2" spans="1:20">
      <c r="A2" s="70">
        <f t="shared" ref="A2:A65" ca="1" si="0">RAND()</f>
        <v>0.63828438821549316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</row>
    <row r="3" spans="1:20">
      <c r="A3" s="70">
        <f t="shared" ca="1" si="0"/>
        <v>0.22844826378313465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</row>
    <row r="4" spans="1:20">
      <c r="A4" s="70">
        <f t="shared" ca="1" si="0"/>
        <v>0.35506126231275348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</row>
    <row r="5" spans="1:20">
      <c r="A5" s="70">
        <f t="shared" ca="1" si="0"/>
        <v>0.98901850585907047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</row>
    <row r="6" spans="1:20">
      <c r="A6" s="70">
        <f t="shared" ca="1" si="0"/>
        <v>0.72087937812447989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</row>
    <row r="7" spans="1:20">
      <c r="A7" s="70">
        <f t="shared" ca="1" si="0"/>
        <v>1.1386052940721814E-2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</row>
    <row r="8" spans="1:20">
      <c r="A8" s="70">
        <f t="shared" ca="1" si="0"/>
        <v>0.49284419790084266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</row>
    <row r="9" spans="1:20">
      <c r="A9" s="70">
        <f t="shared" ca="1" si="0"/>
        <v>0.17879765995942054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</row>
    <row r="10" spans="1:20">
      <c r="A10" s="70">
        <f t="shared" ca="1" si="0"/>
        <v>0.16160687119344808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</row>
    <row r="11" spans="1:20">
      <c r="A11" s="70">
        <f t="shared" ca="1" si="0"/>
        <v>1.7096097128646903E-2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</row>
    <row r="12" spans="1:20">
      <c r="A12" s="70">
        <f t="shared" ca="1" si="0"/>
        <v>2.3173836142572068E-2</v>
      </c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</row>
    <row r="13" spans="1:20">
      <c r="A13" s="70">
        <f t="shared" ca="1" si="0"/>
        <v>0.31084478125947501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</row>
    <row r="14" spans="1:20">
      <c r="A14" s="70">
        <f t="shared" ca="1" si="0"/>
        <v>0.63123079921660807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</row>
    <row r="15" spans="1:20">
      <c r="A15" s="70">
        <f t="shared" ca="1" si="0"/>
        <v>0.31303935004790906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</row>
    <row r="16" spans="1:20">
      <c r="A16" s="70">
        <f t="shared" ca="1" si="0"/>
        <v>0.30891792517931516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</row>
    <row r="17" spans="1:20">
      <c r="A17" s="70">
        <f t="shared" ca="1" si="0"/>
        <v>0.70162241104801393</v>
      </c>
      <c r="B17" s="69" t="s">
        <v>6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</row>
    <row r="18" spans="1:20">
      <c r="A18" s="70">
        <f t="shared" ca="1" si="0"/>
        <v>6.6733203572989175E-2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</row>
    <row r="19" spans="1:20">
      <c r="A19" s="70">
        <f t="shared" ca="1" si="0"/>
        <v>0.74640830395466162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</row>
    <row r="20" spans="1:20">
      <c r="A20" s="70">
        <f t="shared" ca="1" si="0"/>
        <v>0.75123507241491805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</row>
    <row r="21" spans="1:20">
      <c r="A21" s="70">
        <f t="shared" ca="1" si="0"/>
        <v>0.80437372841769639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</row>
    <row r="22" spans="1:20">
      <c r="A22" s="70">
        <f t="shared" ca="1" si="0"/>
        <v>0.753467960548868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</row>
    <row r="23" spans="1:20">
      <c r="A23" s="70">
        <f t="shared" ca="1" si="0"/>
        <v>0.51464307306916757</v>
      </c>
    </row>
    <row r="24" spans="1:20">
      <c r="A24" s="70">
        <f t="shared" ca="1" si="0"/>
        <v>5.5923664285073449E-2</v>
      </c>
    </row>
    <row r="25" spans="1:20">
      <c r="A25" s="70">
        <f t="shared" ca="1" si="0"/>
        <v>0.36227965090441328</v>
      </c>
    </row>
    <row r="26" spans="1:20">
      <c r="A26" s="70">
        <f t="shared" ca="1" si="0"/>
        <v>0.59666261561349621</v>
      </c>
    </row>
    <row r="27" spans="1:20">
      <c r="A27" s="70">
        <f t="shared" ca="1" si="0"/>
        <v>0.38565730240822815</v>
      </c>
    </row>
    <row r="28" spans="1:20">
      <c r="A28" s="70">
        <f t="shared" ca="1" si="0"/>
        <v>0.44002171083493946</v>
      </c>
    </row>
    <row r="29" spans="1:20">
      <c r="A29" s="70">
        <f t="shared" ca="1" si="0"/>
        <v>0.23091527376248044</v>
      </c>
    </row>
    <row r="30" spans="1:20">
      <c r="A30" s="70">
        <f t="shared" ca="1" si="0"/>
        <v>0.5971006880909735</v>
      </c>
    </row>
    <row r="31" spans="1:20">
      <c r="A31" s="70">
        <f t="shared" ca="1" si="0"/>
        <v>0.85261551366699928</v>
      </c>
    </row>
    <row r="32" spans="1:20">
      <c r="A32" s="70">
        <f t="shared" ca="1" si="0"/>
        <v>0.68932814913275464</v>
      </c>
    </row>
    <row r="33" spans="1:1">
      <c r="A33" s="70">
        <f t="shared" ca="1" si="0"/>
        <v>5.4275751914934389E-2</v>
      </c>
    </row>
    <row r="34" spans="1:1">
      <c r="A34" s="70">
        <f t="shared" ca="1" si="0"/>
        <v>1.7761008108032161E-2</v>
      </c>
    </row>
    <row r="35" spans="1:1">
      <c r="A35" s="70">
        <f t="shared" ca="1" si="0"/>
        <v>0.60429732521696378</v>
      </c>
    </row>
    <row r="36" spans="1:1">
      <c r="A36" s="70">
        <f t="shared" ca="1" si="0"/>
        <v>0.83442130670354953</v>
      </c>
    </row>
    <row r="37" spans="1:1">
      <c r="A37" s="70">
        <f t="shared" ca="1" si="0"/>
        <v>0.6929834659105959</v>
      </c>
    </row>
    <row r="38" spans="1:1">
      <c r="A38" s="70">
        <f t="shared" ca="1" si="0"/>
        <v>0.51503365846661386</v>
      </c>
    </row>
    <row r="39" spans="1:1">
      <c r="A39" s="70">
        <f t="shared" ca="1" si="0"/>
        <v>0.47051029426130764</v>
      </c>
    </row>
    <row r="40" spans="1:1">
      <c r="A40" s="70">
        <f t="shared" ca="1" si="0"/>
        <v>4.0269228452557537E-2</v>
      </c>
    </row>
    <row r="41" spans="1:1">
      <c r="A41" s="70">
        <f t="shared" ca="1" si="0"/>
        <v>0.47246248429300552</v>
      </c>
    </row>
    <row r="42" spans="1:1">
      <c r="A42" s="70">
        <f t="shared" ca="1" si="0"/>
        <v>0.99472030293114344</v>
      </c>
    </row>
    <row r="43" spans="1:1">
      <c r="A43" s="70">
        <f t="shared" ca="1" si="0"/>
        <v>0.33810654097532988</v>
      </c>
    </row>
    <row r="44" spans="1:1">
      <c r="A44" s="70">
        <f t="shared" ca="1" si="0"/>
        <v>0.76454942290039696</v>
      </c>
    </row>
    <row r="45" spans="1:1">
      <c r="A45" s="70">
        <f t="shared" ca="1" si="0"/>
        <v>2.1761079195979582E-2</v>
      </c>
    </row>
    <row r="46" spans="1:1">
      <c r="A46" s="70">
        <f t="shared" ca="1" si="0"/>
        <v>0.71348468324684922</v>
      </c>
    </row>
    <row r="47" spans="1:1">
      <c r="A47" s="70">
        <f t="shared" ca="1" si="0"/>
        <v>0.4597585058834851</v>
      </c>
    </row>
    <row r="48" spans="1:1">
      <c r="A48" s="70">
        <f t="shared" ca="1" si="0"/>
        <v>0.54983428418177727</v>
      </c>
    </row>
    <row r="49" spans="1:1">
      <c r="A49" s="70">
        <f t="shared" ca="1" si="0"/>
        <v>0.29740674867318462</v>
      </c>
    </row>
    <row r="50" spans="1:1">
      <c r="A50" s="70">
        <f t="shared" ca="1" si="0"/>
        <v>0.32333961834347935</v>
      </c>
    </row>
    <row r="51" spans="1:1">
      <c r="A51" s="70">
        <f t="shared" ca="1" si="0"/>
        <v>0.9810609402942092</v>
      </c>
    </row>
    <row r="52" spans="1:1">
      <c r="A52" s="70">
        <f t="shared" ca="1" si="0"/>
        <v>0.11811005379040518</v>
      </c>
    </row>
    <row r="53" spans="1:1">
      <c r="A53" s="70">
        <f t="shared" ca="1" si="0"/>
        <v>0.99305058896855536</v>
      </c>
    </row>
    <row r="54" spans="1:1">
      <c r="A54" s="70">
        <f t="shared" ca="1" si="0"/>
        <v>0.26393443424132135</v>
      </c>
    </row>
    <row r="55" spans="1:1">
      <c r="A55" s="70">
        <f t="shared" ca="1" si="0"/>
        <v>9.303816257585773E-2</v>
      </c>
    </row>
    <row r="56" spans="1:1">
      <c r="A56" s="70">
        <f t="shared" ca="1" si="0"/>
        <v>0.36131679424058305</v>
      </c>
    </row>
    <row r="57" spans="1:1">
      <c r="A57" s="70">
        <f t="shared" ca="1" si="0"/>
        <v>0.18989771236695552</v>
      </c>
    </row>
    <row r="58" spans="1:1">
      <c r="A58" s="70">
        <f t="shared" ca="1" si="0"/>
        <v>0.4438908980330879</v>
      </c>
    </row>
    <row r="59" spans="1:1">
      <c r="A59" s="70">
        <f t="shared" ca="1" si="0"/>
        <v>0.72094242183515078</v>
      </c>
    </row>
    <row r="60" spans="1:1">
      <c r="A60" s="70">
        <f t="shared" ca="1" si="0"/>
        <v>0.55585985300755181</v>
      </c>
    </row>
    <row r="61" spans="1:1">
      <c r="A61" s="70">
        <f t="shared" ca="1" si="0"/>
        <v>0.22362426667658153</v>
      </c>
    </row>
    <row r="62" spans="1:1">
      <c r="A62" s="70">
        <f t="shared" ca="1" si="0"/>
        <v>0.38677168735503986</v>
      </c>
    </row>
    <row r="63" spans="1:1">
      <c r="A63" s="70">
        <f t="shared" ca="1" si="0"/>
        <v>0.90357620718154574</v>
      </c>
    </row>
    <row r="64" spans="1:1">
      <c r="A64" s="70">
        <f t="shared" ca="1" si="0"/>
        <v>0.39674888723561319</v>
      </c>
    </row>
    <row r="65" spans="1:1">
      <c r="A65" s="70">
        <f t="shared" ca="1" si="0"/>
        <v>0.37232342339863089</v>
      </c>
    </row>
    <row r="66" spans="1:1">
      <c r="A66" s="70">
        <f t="shared" ref="A66:A101" ca="1" si="1">RAND()</f>
        <v>1.7850488954113231E-2</v>
      </c>
    </row>
    <row r="67" spans="1:1">
      <c r="A67" s="70">
        <f t="shared" ca="1" si="1"/>
        <v>0.3154311599053673</v>
      </c>
    </row>
    <row r="68" spans="1:1">
      <c r="A68" s="70">
        <f t="shared" ca="1" si="1"/>
        <v>0.78152870233411309</v>
      </c>
    </row>
    <row r="69" spans="1:1">
      <c r="A69" s="70">
        <f t="shared" ca="1" si="1"/>
        <v>0.49037584013916025</v>
      </c>
    </row>
    <row r="70" spans="1:1">
      <c r="A70" s="70">
        <f t="shared" ca="1" si="1"/>
        <v>0.74783826460200331</v>
      </c>
    </row>
    <row r="71" spans="1:1">
      <c r="A71" s="70">
        <f t="shared" ca="1" si="1"/>
        <v>0.16191611330230826</v>
      </c>
    </row>
    <row r="72" spans="1:1">
      <c r="A72" s="70">
        <f t="shared" ca="1" si="1"/>
        <v>0.34682523941703114</v>
      </c>
    </row>
    <row r="73" spans="1:1">
      <c r="A73" s="70">
        <f t="shared" ca="1" si="1"/>
        <v>0.74302875918666988</v>
      </c>
    </row>
    <row r="74" spans="1:1">
      <c r="A74" s="70">
        <f t="shared" ca="1" si="1"/>
        <v>0.26699519255896575</v>
      </c>
    </row>
    <row r="75" spans="1:1">
      <c r="A75" s="70">
        <f t="shared" ca="1" si="1"/>
        <v>9.213462305481479E-2</v>
      </c>
    </row>
    <row r="76" spans="1:1">
      <c r="A76" s="70">
        <f t="shared" ca="1" si="1"/>
        <v>0.28792108936691996</v>
      </c>
    </row>
    <row r="77" spans="1:1">
      <c r="A77" s="70">
        <f t="shared" ca="1" si="1"/>
        <v>0.6101073517574318</v>
      </c>
    </row>
    <row r="78" spans="1:1">
      <c r="A78" s="70">
        <f t="shared" ca="1" si="1"/>
        <v>0.61458528994959427</v>
      </c>
    </row>
    <row r="79" spans="1:1">
      <c r="A79" s="70">
        <f t="shared" ca="1" si="1"/>
        <v>0.94390956513949276</v>
      </c>
    </row>
    <row r="80" spans="1:1">
      <c r="A80" s="70">
        <f t="shared" ca="1" si="1"/>
        <v>0.1106884526354065</v>
      </c>
    </row>
    <row r="81" spans="1:1">
      <c r="A81" s="70">
        <f t="shared" ca="1" si="1"/>
        <v>8.5732598089946377E-2</v>
      </c>
    </row>
    <row r="82" spans="1:1">
      <c r="A82" s="70">
        <f t="shared" ca="1" si="1"/>
        <v>0.67811039145746721</v>
      </c>
    </row>
    <row r="83" spans="1:1">
      <c r="A83" s="70">
        <f t="shared" ca="1" si="1"/>
        <v>0.36105030816411232</v>
      </c>
    </row>
    <row r="84" spans="1:1">
      <c r="A84" s="70">
        <f t="shared" ca="1" si="1"/>
        <v>0.15764144415007397</v>
      </c>
    </row>
    <row r="85" spans="1:1">
      <c r="A85" s="70">
        <f t="shared" ca="1" si="1"/>
        <v>0.16757891144085779</v>
      </c>
    </row>
    <row r="86" spans="1:1">
      <c r="A86" s="70">
        <f t="shared" ca="1" si="1"/>
        <v>0.85526872503427431</v>
      </c>
    </row>
    <row r="87" spans="1:1">
      <c r="A87" s="70">
        <f t="shared" ca="1" si="1"/>
        <v>0.59988198575071161</v>
      </c>
    </row>
    <row r="88" spans="1:1">
      <c r="A88" s="70">
        <f t="shared" ca="1" si="1"/>
        <v>0.6450638719592009</v>
      </c>
    </row>
    <row r="89" spans="1:1">
      <c r="A89" s="70">
        <f t="shared" ca="1" si="1"/>
        <v>0.14123805338665241</v>
      </c>
    </row>
    <row r="90" spans="1:1">
      <c r="A90" s="70">
        <f t="shared" ca="1" si="1"/>
        <v>0.73507376062112917</v>
      </c>
    </row>
    <row r="91" spans="1:1">
      <c r="A91" s="70">
        <f t="shared" ca="1" si="1"/>
        <v>0.25475183390558132</v>
      </c>
    </row>
    <row r="92" spans="1:1">
      <c r="A92" s="70">
        <f t="shared" ca="1" si="1"/>
        <v>0.45835774390553796</v>
      </c>
    </row>
    <row r="93" spans="1:1">
      <c r="A93" s="70">
        <f t="shared" ca="1" si="1"/>
        <v>0.22392989399000118</v>
      </c>
    </row>
    <row r="94" spans="1:1">
      <c r="A94" s="70">
        <f t="shared" ca="1" si="1"/>
        <v>8.8318217268768873E-2</v>
      </c>
    </row>
    <row r="95" spans="1:1">
      <c r="A95" s="70">
        <f t="shared" ca="1" si="1"/>
        <v>0.19975824567613165</v>
      </c>
    </row>
    <row r="96" spans="1:1">
      <c r="A96" s="70">
        <f t="shared" ca="1" si="1"/>
        <v>0.2008394521614778</v>
      </c>
    </row>
    <row r="97" spans="1:1">
      <c r="A97" s="70">
        <f t="shared" ca="1" si="1"/>
        <v>0.4901407882264005</v>
      </c>
    </row>
    <row r="98" spans="1:1">
      <c r="A98" s="70">
        <f t="shared" ca="1" si="1"/>
        <v>0.16871136817697518</v>
      </c>
    </row>
    <row r="99" spans="1:1">
      <c r="A99" s="70">
        <f t="shared" ca="1" si="1"/>
        <v>0.62577322495820931</v>
      </c>
    </row>
    <row r="100" spans="1:1">
      <c r="A100" s="70">
        <f t="shared" ca="1" si="1"/>
        <v>0.21366358006183828</v>
      </c>
    </row>
    <row r="101" spans="1:1">
      <c r="A101" s="70">
        <f t="shared" ca="1" si="1"/>
        <v>0.90122643575594152</v>
      </c>
    </row>
  </sheetData>
  <mergeCells count="1">
    <mergeCell ref="B17:T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6046A-F6A1-48EA-BA6D-B5ABF249F6E6}">
  <dimension ref="A1:O5"/>
  <sheetViews>
    <sheetView workbookViewId="0">
      <selection activeCell="B4" sqref="B4"/>
    </sheetView>
  </sheetViews>
  <sheetFormatPr defaultRowHeight="15"/>
  <cols>
    <col min="1" max="1" width="19" customWidth="1"/>
  </cols>
  <sheetData>
    <row r="1" spans="1:15">
      <c r="A1" s="1" t="s">
        <v>7</v>
      </c>
      <c r="B1" s="1" t="s">
        <v>8</v>
      </c>
    </row>
    <row r="2" spans="1:15">
      <c r="A2" s="1" t="s">
        <v>9</v>
      </c>
      <c r="B2" s="1">
        <v>50</v>
      </c>
    </row>
    <row r="3" spans="1:15">
      <c r="A3" s="1" t="s">
        <v>10</v>
      </c>
      <c r="B3" s="1">
        <v>5</v>
      </c>
    </row>
    <row r="4" spans="1:15">
      <c r="A4" s="1"/>
      <c r="B4" s="1">
        <f>_xlfn.NORM.DIST(55,50,5,TRUE)-_xlfn.NORM.DIST(45,50,5,TRUE)</f>
        <v>0.68268949213708607</v>
      </c>
    </row>
    <row r="5" spans="1:15">
      <c r="B5" s="9" t="s">
        <v>11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0F89B-E253-4D2A-94B0-2154109C1F5F}">
  <dimension ref="A1:Q14"/>
  <sheetViews>
    <sheetView workbookViewId="0">
      <selection activeCell="E19" sqref="E19"/>
    </sheetView>
  </sheetViews>
  <sheetFormatPr defaultRowHeight="15"/>
  <cols>
    <col min="12" max="12" width="12.28515625" customWidth="1"/>
  </cols>
  <sheetData>
    <row r="1" spans="1:17">
      <c r="A1" s="26" t="s">
        <v>21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7">
      <c r="A2" s="27" t="s">
        <v>22</v>
      </c>
    </row>
    <row r="3" spans="1:17">
      <c r="A3" s="15" t="s">
        <v>19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7"/>
    </row>
    <row r="4" spans="1:17">
      <c r="A4" s="18" t="s">
        <v>20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</row>
    <row r="5" spans="1:17">
      <c r="A5" s="21" t="s">
        <v>12</v>
      </c>
      <c r="Q5" s="12"/>
    </row>
    <row r="6" spans="1:17">
      <c r="A6" s="11"/>
      <c r="Q6" s="12"/>
    </row>
    <row r="7" spans="1:17">
      <c r="A7" s="22" t="s">
        <v>13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Q7" s="12"/>
    </row>
    <row r="8" spans="1:17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Q8" s="12"/>
    </row>
    <row r="9" spans="1:17">
      <c r="A9" s="22" t="s">
        <v>14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Q9" s="12"/>
    </row>
    <row r="10" spans="1:17">
      <c r="A10" s="22" t="s">
        <v>15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Q10" s="12"/>
    </row>
    <row r="11" spans="1:17">
      <c r="A11" s="22" t="s">
        <v>16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Q11" s="12"/>
    </row>
    <row r="12" spans="1:17">
      <c r="A12" s="22" t="s">
        <v>17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Q12" s="12"/>
    </row>
    <row r="13" spans="1:17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Q13" s="12"/>
    </row>
    <row r="14" spans="1:17">
      <c r="A14" s="24" t="s">
        <v>18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13"/>
      <c r="P14" s="13"/>
      <c r="Q14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D6D97-5E7B-4FEA-9109-BA565204123B}">
  <dimension ref="B1:N11"/>
  <sheetViews>
    <sheetView workbookViewId="0">
      <selection activeCell="E14" sqref="E14"/>
    </sheetView>
  </sheetViews>
  <sheetFormatPr defaultRowHeight="15"/>
  <sheetData>
    <row r="1" spans="2:14">
      <c r="B1" s="29">
        <v>5</v>
      </c>
      <c r="C1" s="9" t="s">
        <v>29</v>
      </c>
      <c r="D1" s="9"/>
      <c r="E1" s="9"/>
      <c r="F1" s="9"/>
    </row>
    <row r="2" spans="2:14" ht="15.75" thickBot="1"/>
    <row r="3" spans="2:14">
      <c r="C3" s="30" t="s">
        <v>23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>
      <c r="C4" s="33"/>
      <c r="D4" s="28"/>
      <c r="E4" s="28"/>
      <c r="F4" s="28"/>
      <c r="G4" s="28"/>
      <c r="H4" s="28"/>
      <c r="I4" s="28"/>
      <c r="J4" s="28"/>
      <c r="K4" s="28"/>
      <c r="L4" s="28"/>
      <c r="M4" s="28"/>
      <c r="N4" s="34"/>
    </row>
    <row r="5" spans="2:14">
      <c r="C5" s="33" t="s">
        <v>24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34"/>
    </row>
    <row r="6" spans="2:14">
      <c r="C6" s="35"/>
      <c r="D6" s="28"/>
      <c r="E6" s="28"/>
      <c r="F6" s="28"/>
      <c r="G6" s="28"/>
      <c r="H6" s="28"/>
      <c r="I6" s="28"/>
      <c r="J6" s="28"/>
      <c r="K6" s="28"/>
      <c r="L6" s="28"/>
      <c r="M6" s="28"/>
      <c r="N6" s="34"/>
    </row>
    <row r="7" spans="2:14">
      <c r="C7" s="35" t="s">
        <v>25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34"/>
    </row>
    <row r="8" spans="2:14">
      <c r="C8" s="35" t="s">
        <v>26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34"/>
    </row>
    <row r="9" spans="2:14">
      <c r="C9" s="35" t="s">
        <v>27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34"/>
    </row>
    <row r="10" spans="2:14">
      <c r="C10" s="33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34"/>
    </row>
    <row r="11" spans="2:14" ht="15.75" thickBot="1">
      <c r="C11" s="36" t="s">
        <v>28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8D8C-A7F7-4B85-A96F-8600187A5B93}">
  <dimension ref="A1:O9"/>
  <sheetViews>
    <sheetView workbookViewId="0">
      <selection activeCell="F12" sqref="F12"/>
    </sheetView>
  </sheetViews>
  <sheetFormatPr defaultRowHeight="15"/>
  <sheetData>
    <row r="1" spans="1:15">
      <c r="A1" s="9" t="s">
        <v>30</v>
      </c>
      <c r="B1" s="9"/>
      <c r="C1" s="9"/>
      <c r="D1" s="9"/>
      <c r="E1" s="9"/>
      <c r="F1" s="9"/>
      <c r="G1" s="9"/>
      <c r="H1" s="9"/>
      <c r="I1" s="9"/>
      <c r="J1" s="9"/>
    </row>
    <row r="2" spans="1:15" ht="15.75" thickBot="1">
      <c r="A2" s="39" t="s">
        <v>35</v>
      </c>
    </row>
    <row r="3" spans="1:15">
      <c r="A3" s="40" t="s">
        <v>31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2"/>
    </row>
    <row r="4" spans="1:15">
      <c r="A4" s="43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44"/>
    </row>
    <row r="5" spans="1:15">
      <c r="A5" s="43" t="s">
        <v>32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44"/>
    </row>
    <row r="6" spans="1:15">
      <c r="A6" s="43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44"/>
    </row>
    <row r="7" spans="1:15">
      <c r="A7" s="43" t="s">
        <v>33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44"/>
    </row>
    <row r="8" spans="1:15">
      <c r="A8" s="43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44"/>
    </row>
    <row r="9" spans="1:15" ht="15.75" thickBot="1">
      <c r="A9" s="45" t="s">
        <v>34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04A3-ABF2-4CA0-8A59-F041DED7D276}">
  <dimension ref="A2:P9"/>
  <sheetViews>
    <sheetView workbookViewId="0">
      <selection activeCell="K15" sqref="K15"/>
    </sheetView>
  </sheetViews>
  <sheetFormatPr defaultRowHeight="15"/>
  <cols>
    <col min="2" max="2" width="23.7109375" customWidth="1"/>
  </cols>
  <sheetData>
    <row r="2" spans="1:16">
      <c r="A2" s="49"/>
      <c r="B2" s="52" t="s">
        <v>7</v>
      </c>
      <c r="C2" s="53" t="s">
        <v>8</v>
      </c>
      <c r="D2" s="54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16">
      <c r="A3" s="49"/>
      <c r="B3" s="50" t="s">
        <v>36</v>
      </c>
      <c r="C3" s="49">
        <v>15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6">
      <c r="A4" s="49"/>
      <c r="B4" s="50" t="s">
        <v>37</v>
      </c>
      <c r="C4" s="49">
        <v>0.5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</row>
    <row r="5" spans="1:16">
      <c r="A5" s="49"/>
      <c r="B5" s="54"/>
      <c r="C5" s="55">
        <f>1-_xlfn.BINOM.DIST(7,15,0.5,TRUE)</f>
        <v>0.5</v>
      </c>
      <c r="D5" s="54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</row>
    <row r="6" spans="1:16" ht="18">
      <c r="A6" s="56" t="s">
        <v>38</v>
      </c>
      <c r="B6" s="10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</row>
    <row r="7" spans="1:16">
      <c r="A7" s="51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</row>
    <row r="8" spans="1:16">
      <c r="A8" s="57" t="s">
        <v>39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1"/>
    </row>
    <row r="9" spans="1:16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4393-FD53-46D4-B4F2-1E84CAEA7C0A}">
  <dimension ref="A1:M12"/>
  <sheetViews>
    <sheetView workbookViewId="0">
      <selection activeCell="G9" sqref="G9"/>
    </sheetView>
  </sheetViews>
  <sheetFormatPr defaultRowHeight="15"/>
  <sheetData>
    <row r="1" spans="1:13">
      <c r="A1" s="57" t="s">
        <v>40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3" spans="1:13">
      <c r="A3" s="58" t="s">
        <v>43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</row>
    <row r="4" spans="1:13">
      <c r="A4" s="58" t="s">
        <v>44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</row>
    <row r="5" spans="1:13">
      <c r="A5" s="58" t="s">
        <v>45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</row>
    <row r="6" spans="1:13">
      <c r="A6" s="65" t="s">
        <v>41</v>
      </c>
      <c r="B6" s="65"/>
    </row>
    <row r="7" spans="1:13">
      <c r="A7" s="59"/>
      <c r="B7" s="60"/>
    </row>
    <row r="8" spans="1:13">
      <c r="A8" s="61">
        <v>2</v>
      </c>
      <c r="B8" s="62">
        <f>LOG(A8)</f>
        <v>0.3010299956639812</v>
      </c>
    </row>
    <row r="9" spans="1:13">
      <c r="A9" s="61"/>
      <c r="B9" s="62"/>
    </row>
    <row r="10" spans="1:13">
      <c r="A10" s="61" t="s">
        <v>42</v>
      </c>
      <c r="B10" s="62"/>
    </row>
    <row r="11" spans="1:13">
      <c r="A11" s="61"/>
      <c r="B11" s="62"/>
    </row>
    <row r="12" spans="1:13">
      <c r="A12" s="63">
        <v>5</v>
      </c>
      <c r="B12" s="64">
        <f>LN(A12)</f>
        <v>1.6094379124341003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Tapadar</dc:creator>
  <cp:lastModifiedBy>Sourav Tapadar</cp:lastModifiedBy>
  <dcterms:created xsi:type="dcterms:W3CDTF">2026-06-18T14:06:28Z</dcterms:created>
  <dcterms:modified xsi:type="dcterms:W3CDTF">2026-06-18T18:08:26Z</dcterms:modified>
</cp:coreProperties>
</file>